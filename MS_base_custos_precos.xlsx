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is &amp; Preços" sheetId="1" state="visible" r:id="rId3"/>
    <sheet name="Mão de obra (referência)" sheetId="2" state="visible" r:id="rId4"/>
    <sheet name="Estimativa m² (venda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Custo de compra do material (o que a MS paga). Edite com os preços reais dos fornecedores.</t>
        </r>
      </text>
    </comment>
    <comment ref="E5" authorId="0">
      <text>
        <r>
          <rPr>
            <sz val="10"/>
            <rFont val="Arial"/>
            <family val="2"/>
          </rPr>
          <t xml:space="preserve">Mão de obra como % do material. Faixa usual 20%–30%; itens de execução (assentamento, pintura) têm % maior.</t>
        </r>
      </text>
    </comment>
    <comment ref="G5" authorId="0">
      <text>
        <r>
          <rPr>
            <sz val="10"/>
            <rFont val="Arial"/>
            <family val="2"/>
          </rPr>
          <t xml:space="preserve">Margem de venda sobre o custo instalado. Edite por linha. Padrão 30%.</t>
        </r>
      </text>
    </comment>
  </commentList>
</comments>
</file>

<file path=xl/sharedStrings.xml><?xml version="1.0" encoding="utf-8"?>
<sst xmlns="http://schemas.openxmlformats.org/spreadsheetml/2006/main" count="189" uniqueCount="137">
  <si>
    <t xml:space="preserve">MS Construções Inteligentes · Base de custos e venda</t>
  </si>
  <si>
    <t xml:space="preserve">Médias pesquisadas nas melhores praças de RS / SC / PR (set/2026) — PLACEHOLDER. Edite as células AZUIS (custo de compra, % mão de obra e % margem). Custo instalado e Venda são fórmulas e recalculam sozinhos.</t>
  </si>
  <si>
    <t xml:space="preserve">Ao receber os portfólios dos fornecedores, troque os custos de compra aqui — o Prumo usa esta mesma lógica.</t>
  </si>
  <si>
    <t xml:space="preserve">Categoria</t>
  </si>
  <si>
    <t xml:space="preserve">Item</t>
  </si>
  <si>
    <t xml:space="preserve">Un.</t>
  </si>
  <si>
    <t xml:space="preserve">Custo compra (R$)</t>
  </si>
  <si>
    <t xml:space="preserve">Mão de obra %</t>
  </si>
  <si>
    <t xml:space="preserve">Custo instalado (R$)</t>
  </si>
  <si>
    <t xml:space="preserve">Margem %</t>
  </si>
  <si>
    <t xml:space="preserve">Venda cliente (R$)</t>
  </si>
  <si>
    <t xml:space="preserve">Fonte / nota</t>
  </si>
  <si>
    <t xml:space="preserve">(exemplo)</t>
  </si>
  <si>
    <t xml:space="preserve">Edite as colunas azuis; as cinzas são fórmulas</t>
  </si>
  <si>
    <t xml:space="preserve">Estrutura</t>
  </si>
  <si>
    <t xml:space="preserve">Fundação — radier (concreto + armadura)</t>
  </si>
  <si>
    <t xml:space="preserve">m²</t>
  </si>
  <si>
    <t xml:space="preserve">por m² de projeção</t>
  </si>
  <si>
    <t xml:space="preserve">Kit estrutura steel frame (perfis galvanizados)</t>
  </si>
  <si>
    <t xml:space="preserve">perfis + fixação</t>
  </si>
  <si>
    <t xml:space="preserve">Fechamento OSB + placa cimentícia + isolamento (lã)</t>
  </si>
  <si>
    <t xml:space="preserve">parede dupla face</t>
  </si>
  <si>
    <t xml:space="preserve">Entrepiso / laje seca (sobrado)</t>
  </si>
  <si>
    <t xml:space="preserve">Impermeabilização (áreas molhadas + radier)</t>
  </si>
  <si>
    <t xml:space="preserve">Cobertura</t>
  </si>
  <si>
    <t xml:space="preserve">Telha fibrocimento + estrutura</t>
  </si>
  <si>
    <t xml:space="preserve">Telha cerâmica + madeiramento</t>
  </si>
  <si>
    <t xml:space="preserve">Telha shingle</t>
  </si>
  <si>
    <t xml:space="preserve">Telha metálica termoacústica (sanduíche)</t>
  </si>
  <si>
    <t xml:space="preserve">Manta subcobertura + calhas + rufos</t>
  </si>
  <si>
    <t xml:space="preserve">Revestimentos</t>
  </si>
  <si>
    <t xml:space="preserve">Porcelanato popular 60×60</t>
  </si>
  <si>
    <t xml:space="preserve">assentamento ~R$55/m²</t>
  </si>
  <si>
    <t xml:space="preserve">Porcelanato médio 60×60 (acetinado/polido)</t>
  </si>
  <si>
    <t xml:space="preserve">assentamento incluído</t>
  </si>
  <si>
    <t xml:space="preserve">Porcelanato retificado 80×80 / 90×90</t>
  </si>
  <si>
    <t xml:space="preserve">MO maior p/ grande formato</t>
  </si>
  <si>
    <t xml:space="preserve">Porcelanato grande formato / marmorizado</t>
  </si>
  <si>
    <t xml:space="preserve">Argamassa colante AC-III</t>
  </si>
  <si>
    <t xml:space="preserve">~R$32/saco 20kg, rende ~4 m²</t>
  </si>
  <si>
    <t xml:space="preserve">Rejunte</t>
  </si>
  <si>
    <t xml:space="preserve">Regularização / contrapiso</t>
  </si>
  <si>
    <t xml:space="preserve">Rodapé (material + assentamento)</t>
  </si>
  <si>
    <t xml:space="preserve">m</t>
  </si>
  <si>
    <t xml:space="preserve">MO ~R$15/m linear</t>
  </si>
  <si>
    <t xml:space="preserve">Pintura</t>
  </si>
  <si>
    <t xml:space="preserve">Massa corrida + selador (material)</t>
  </si>
  <si>
    <t xml:space="preserve">Tinta acrílica premium (2 demãos)</t>
  </si>
  <si>
    <t xml:space="preserve">lata 18L ~R$320; MO ~R$14/m²</t>
  </si>
  <si>
    <t xml:space="preserve">Textura / grafiato</t>
  </si>
  <si>
    <t xml:space="preserve">MO ~R$18/m²</t>
  </si>
  <si>
    <t xml:space="preserve">Acabamentos</t>
  </si>
  <si>
    <t xml:space="preserve">Forro PVC</t>
  </si>
  <si>
    <t xml:space="preserve">Forro de gesso liso</t>
  </si>
  <si>
    <t xml:space="preserve">Forro gesso + sanca + LED</t>
  </si>
  <si>
    <t xml:space="preserve">Drywall (parede interna)</t>
  </si>
  <si>
    <t xml:space="preserve">Esquadrias</t>
  </si>
  <si>
    <t xml:space="preserve">Janela alumínio linha branca</t>
  </si>
  <si>
    <t xml:space="preserve">un</t>
  </si>
  <si>
    <t xml:space="preserve">Janela alumínio premium (preto/amadeirado)</t>
  </si>
  <si>
    <t xml:space="preserve">Vidro de correr amplo / temperado</t>
  </si>
  <si>
    <t xml:space="preserve">Porta interna semi-oca</t>
  </si>
  <si>
    <t xml:space="preserve">Porta madeira / maciça</t>
  </si>
  <si>
    <t xml:space="preserve">Box de vidro temperado</t>
  </si>
  <si>
    <t xml:space="preserve">Portão de garagem automatizado</t>
  </si>
  <si>
    <t xml:space="preserve">Louças / Metais</t>
  </si>
  <si>
    <t xml:space="preserve">Vaso sanitário popular</t>
  </si>
  <si>
    <t xml:space="preserve">Vaso sanitário médio</t>
  </si>
  <si>
    <t xml:space="preserve">Vaso sanitário alto padrão</t>
  </si>
  <si>
    <t xml:space="preserve">Bancada granito / quartzo</t>
  </si>
  <si>
    <t xml:space="preserve">R$350–1500/m²</t>
  </si>
  <si>
    <t xml:space="preserve">Conjunto metais (torneira/chuveiro/registro)</t>
  </si>
  <si>
    <t xml:space="preserve">cj</t>
  </si>
  <si>
    <t xml:space="preserve">Elétrica</t>
  </si>
  <si>
    <t xml:space="preserve">Ponto elétrico completo (tomada/interruptor/luz)</t>
  </si>
  <si>
    <t xml:space="preserve">pt</t>
  </si>
  <si>
    <t xml:space="preserve">MO ~R$25/ponto</t>
  </si>
  <si>
    <t xml:space="preserve">Entrada de energia + quadro (QDC)</t>
  </si>
  <si>
    <t xml:space="preserve">vb</t>
  </si>
  <si>
    <t xml:space="preserve">Iluminação</t>
  </si>
  <si>
    <t xml:space="preserve">Luminária LED / spot</t>
  </si>
  <si>
    <t xml:space="preserve">Hidráulica</t>
  </si>
  <si>
    <t xml:space="preserve">Ponto hidráulico completo</t>
  </si>
  <si>
    <t xml:space="preserve">MO ~R$25–35/ponto</t>
  </si>
  <si>
    <t xml:space="preserve">Barrilete / instalação geral</t>
  </si>
  <si>
    <t xml:space="preserve">Marcenaria</t>
  </si>
  <si>
    <t xml:space="preserve">Marcenaria planejada (cozinha/dorm.)</t>
  </si>
  <si>
    <t xml:space="preserve">por metro linear</t>
  </si>
  <si>
    <t xml:space="preserve">Jardinagem</t>
  </si>
  <si>
    <t xml:space="preserve">Jardim de entrada (até 9 m²) — completo</t>
  </si>
  <si>
    <t xml:space="preserve">palmeira, forrações, iluminação</t>
  </si>
  <si>
    <t xml:space="preserve">Paisagismo completo (até 18 m²)</t>
  </si>
  <si>
    <t xml:space="preserve">canteiros, pedras, iluminação</t>
  </si>
  <si>
    <t xml:space="preserve">Externo</t>
  </si>
  <si>
    <t xml:space="preserve">Piscina (fibra/vinil)</t>
  </si>
  <si>
    <t xml:space="preserve">Área gourmet / churrasqueira</t>
  </si>
  <si>
    <t xml:space="preserve">Lareira</t>
  </si>
  <si>
    <t xml:space="preserve">Mão de obra — referência de mercado (RS/SC/PR, 2026)</t>
  </si>
  <si>
    <t xml:space="preserve">Valores só de mão de obra, por m² ou por ponto. Usados para calibrar o % de mão de obra da aba anterior.</t>
  </si>
  <si>
    <t xml:space="preserve">Serviço</t>
  </si>
  <si>
    <t xml:space="preserve">Unidade</t>
  </si>
  <si>
    <t xml:space="preserve">Mão de obra (R$)</t>
  </si>
  <si>
    <t xml:space="preserve">Assentamento de porcelanato até 60×60</t>
  </si>
  <si>
    <t xml:space="preserve">45 – 80</t>
  </si>
  <si>
    <t xml:space="preserve">Assentamento porcelanato retificado / grande formato</t>
  </si>
  <si>
    <t xml:space="preserve">50 – 130</t>
  </si>
  <si>
    <t xml:space="preserve">Assentamento de piso de granito</t>
  </si>
  <si>
    <t xml:space="preserve">55</t>
  </si>
  <si>
    <t xml:space="preserve">25 – 30</t>
  </si>
  <si>
    <t xml:space="preserve">Assentamento de rodapé</t>
  </si>
  <si>
    <t xml:space="preserve">m linear</t>
  </si>
  <si>
    <t xml:space="preserve">15</t>
  </si>
  <si>
    <t xml:space="preserve">Pintura de parede (látex/acrílica, mão de obra)</t>
  </si>
  <si>
    <t xml:space="preserve">12 – 18</t>
  </si>
  <si>
    <t xml:space="preserve">Textura / grafiato (mão de obra)</t>
  </si>
  <si>
    <t xml:space="preserve">18</t>
  </si>
  <si>
    <t xml:space="preserve">Forro de gesso instalado (mão de obra)</t>
  </si>
  <si>
    <t xml:space="preserve">30 – 45</t>
  </si>
  <si>
    <t xml:space="preserve">Ponto elétrico (tomada/interruptor/luz)</t>
  </si>
  <si>
    <t xml:space="preserve">ponto</t>
  </si>
  <si>
    <t xml:space="preserve">25</t>
  </si>
  <si>
    <t xml:space="preserve">Ponto hidráulico / torneira / registro</t>
  </si>
  <si>
    <t xml:space="preserve">25 – 35</t>
  </si>
  <si>
    <t xml:space="preserve">Montagem estrutura steel frame</t>
  </si>
  <si>
    <t xml:space="preserve">100 – 140</t>
  </si>
  <si>
    <t xml:space="preserve">Fontes: reformeconstrua.com.br, larpontual.com.br, rangellage (tabela MO), cronoshare — pesquisa set/2026.</t>
  </si>
  <si>
    <t xml:space="preserve">Composição da estimativa (venda por m², chave na mão)</t>
  </si>
  <si>
    <t xml:space="preserve">É o R$/m² que o sistema usa na faixa mostrada ao cliente. Material + mão de obra + margem já embutidos.</t>
  </si>
  <si>
    <t xml:space="preserve">Padrão</t>
  </si>
  <si>
    <t xml:space="preserve">Venda R$/m²</t>
  </si>
  <si>
    <t xml:space="preserve">Observação</t>
  </si>
  <si>
    <t xml:space="preserve">Médio padrão</t>
  </si>
  <si>
    <t xml:space="preserve">steel frame chave na mão</t>
  </si>
  <si>
    <t xml:space="preserve">Alto padrão</t>
  </si>
  <si>
    <t xml:space="preserve">acabamentos superiores</t>
  </si>
  <si>
    <t xml:space="preserve">+ Projetos: R$225/m² (arquitetura 100, estrutural 45, fundação 60, aprovação 20). +30/m² com paisagismo.</t>
  </si>
  <si>
    <t xml:space="preserve">+ Extras (venda): piscina R$45.000 · gourmet R$13.000 · lareira R$8.000 · paisagismo R$8.000–18.000.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</si>
</sst>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E2C23"/>
        <bgColor rgb="FF333300"/>
      </patternFill>
    </fill>
    <fill>
      <patternFill patternType="solid">
        <fgColor rgb="FFEFE7DF"/>
        <bgColor rgb="FFFFF2CC"/>
      </patternFill>
    </fill>
    <fill>
      <patternFill patternType="solid">
        <fgColor rgb="FFFFF2CC"/>
        <bgColor rgb="FFEFE7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5"/>
      </left>
      <right style="thin">
        <color rgb="FFD9CFC5"/>
      </right>
      <top style="thin">
        <color rgb="FFD9CFC5"/>
      </top>
      <bottom style="thin">
        <color rgb="FFD9CF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5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2C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2" t="s">
        <v>12</v>
      </c>
      <c r="B6" s="2" t="s">
        <v>13</v>
      </c>
    </row>
    <row r="7" customFormat="false" ht="15" hidden="false" customHeight="false" outlineLevel="0" collapsed="false">
      <c r="A7" s="4" t="s">
        <v>14</v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6"/>
      <c r="B8" s="7" t="s">
        <v>15</v>
      </c>
      <c r="C8" s="8" t="s">
        <v>16</v>
      </c>
      <c r="D8" s="9" t="n">
        <v>220</v>
      </c>
      <c r="E8" s="10" t="n">
        <v>0.3</v>
      </c>
      <c r="F8" s="11" t="n">
        <f aca="false">D8*(1+E8)</f>
        <v>286</v>
      </c>
      <c r="G8" s="10" t="n">
        <v>0.3</v>
      </c>
      <c r="H8" s="12" t="n">
        <f aca="false">F8*(1+G8)</f>
        <v>371.8</v>
      </c>
      <c r="I8" s="13" t="s">
        <v>17</v>
      </c>
    </row>
    <row r="9" customFormat="false" ht="15" hidden="false" customHeight="false" outlineLevel="0" collapsed="false">
      <c r="A9" s="6"/>
      <c r="B9" s="7" t="s">
        <v>18</v>
      </c>
      <c r="C9" s="8" t="s">
        <v>16</v>
      </c>
      <c r="D9" s="9" t="n">
        <v>380</v>
      </c>
      <c r="E9" s="10" t="n">
        <v>0.32</v>
      </c>
      <c r="F9" s="11" t="n">
        <f aca="false">D9*(1+E9)</f>
        <v>501.6</v>
      </c>
      <c r="G9" s="10" t="n">
        <v>0.3</v>
      </c>
      <c r="H9" s="12" t="n">
        <f aca="false">F9*(1+G9)</f>
        <v>652.08</v>
      </c>
      <c r="I9" s="13" t="s">
        <v>19</v>
      </c>
    </row>
    <row r="10" customFormat="false" ht="15" hidden="false" customHeight="false" outlineLevel="0" collapsed="false">
      <c r="A10" s="6"/>
      <c r="B10" s="7" t="s">
        <v>20</v>
      </c>
      <c r="C10" s="8" t="s">
        <v>16</v>
      </c>
      <c r="D10" s="9" t="n">
        <v>150</v>
      </c>
      <c r="E10" s="10" t="n">
        <v>0.35</v>
      </c>
      <c r="F10" s="11" t="n">
        <f aca="false">D10*(1+E10)</f>
        <v>202.5</v>
      </c>
      <c r="G10" s="10" t="n">
        <v>0.3</v>
      </c>
      <c r="H10" s="12" t="n">
        <f aca="false">F10*(1+G10)</f>
        <v>263.25</v>
      </c>
      <c r="I10" s="13" t="s">
        <v>21</v>
      </c>
    </row>
    <row r="11" customFormat="false" ht="15" hidden="false" customHeight="false" outlineLevel="0" collapsed="false">
      <c r="A11" s="6"/>
      <c r="B11" s="7" t="s">
        <v>22</v>
      </c>
      <c r="C11" s="8" t="s">
        <v>16</v>
      </c>
      <c r="D11" s="9" t="n">
        <v>160</v>
      </c>
      <c r="E11" s="10" t="n">
        <v>0.3</v>
      </c>
      <c r="F11" s="11" t="n">
        <f aca="false">D11*(1+E11)</f>
        <v>208</v>
      </c>
      <c r="G11" s="10" t="n">
        <v>0.3</v>
      </c>
      <c r="H11" s="12" t="n">
        <f aca="false">F11*(1+G11)</f>
        <v>270.4</v>
      </c>
      <c r="I11" s="13"/>
    </row>
    <row r="12" customFormat="false" ht="15" hidden="false" customHeight="false" outlineLevel="0" collapsed="false">
      <c r="A12" s="6"/>
      <c r="B12" s="7" t="s">
        <v>23</v>
      </c>
      <c r="C12" s="8" t="s">
        <v>16</v>
      </c>
      <c r="D12" s="9" t="n">
        <v>35</v>
      </c>
      <c r="E12" s="10" t="n">
        <v>0.3</v>
      </c>
      <c r="F12" s="11" t="n">
        <f aca="false">D12*(1+E12)</f>
        <v>45.5</v>
      </c>
      <c r="G12" s="10" t="n">
        <v>0.3</v>
      </c>
      <c r="H12" s="12" t="n">
        <f aca="false">F12*(1+G12)</f>
        <v>59.15</v>
      </c>
      <c r="I12" s="13"/>
    </row>
    <row r="13" customFormat="false" ht="15" hidden="false" customHeight="false" outlineLevel="0" collapsed="false">
      <c r="A13" s="4" t="s">
        <v>24</v>
      </c>
      <c r="B13" s="5"/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A14" s="6"/>
      <c r="B14" s="7" t="s">
        <v>25</v>
      </c>
      <c r="C14" s="8" t="s">
        <v>16</v>
      </c>
      <c r="D14" s="9" t="n">
        <v>55</v>
      </c>
      <c r="E14" s="10" t="n">
        <v>0.3</v>
      </c>
      <c r="F14" s="11" t="n">
        <f aca="false">D14*(1+E14)</f>
        <v>71.5</v>
      </c>
      <c r="G14" s="10" t="n">
        <v>0.3</v>
      </c>
      <c r="H14" s="12" t="n">
        <f aca="false">F14*(1+G14)</f>
        <v>92.95</v>
      </c>
      <c r="I14" s="13"/>
    </row>
    <row r="15" customFormat="false" ht="15" hidden="false" customHeight="false" outlineLevel="0" collapsed="false">
      <c r="A15" s="6"/>
      <c r="B15" s="7" t="s">
        <v>26</v>
      </c>
      <c r="C15" s="8" t="s">
        <v>16</v>
      </c>
      <c r="D15" s="9" t="n">
        <v>95</v>
      </c>
      <c r="E15" s="10" t="n">
        <v>0.35</v>
      </c>
      <c r="F15" s="11" t="n">
        <f aca="false">D15*(1+E15)</f>
        <v>128.25</v>
      </c>
      <c r="G15" s="10" t="n">
        <v>0.3</v>
      </c>
      <c r="H15" s="12" t="n">
        <f aca="false">F15*(1+G15)</f>
        <v>166.725</v>
      </c>
      <c r="I15" s="13"/>
    </row>
    <row r="16" customFormat="false" ht="15" hidden="false" customHeight="false" outlineLevel="0" collapsed="false">
      <c r="A16" s="6"/>
      <c r="B16" s="7" t="s">
        <v>27</v>
      </c>
      <c r="C16" s="8" t="s">
        <v>16</v>
      </c>
      <c r="D16" s="9" t="n">
        <v>120</v>
      </c>
      <c r="E16" s="10" t="n">
        <v>0.3</v>
      </c>
      <c r="F16" s="11" t="n">
        <f aca="false">D16*(1+E16)</f>
        <v>156</v>
      </c>
      <c r="G16" s="10" t="n">
        <v>0.3</v>
      </c>
      <c r="H16" s="12" t="n">
        <f aca="false">F16*(1+G16)</f>
        <v>202.8</v>
      </c>
      <c r="I16" s="13"/>
    </row>
    <row r="17" customFormat="false" ht="15" hidden="false" customHeight="false" outlineLevel="0" collapsed="false">
      <c r="A17" s="6"/>
      <c r="B17" s="7" t="s">
        <v>28</v>
      </c>
      <c r="C17" s="8" t="s">
        <v>16</v>
      </c>
      <c r="D17" s="9" t="n">
        <v>135</v>
      </c>
      <c r="E17" s="10" t="n">
        <v>0.25</v>
      </c>
      <c r="F17" s="11" t="n">
        <f aca="false">D17*(1+E17)</f>
        <v>168.75</v>
      </c>
      <c r="G17" s="10" t="n">
        <v>0.3</v>
      </c>
      <c r="H17" s="12" t="n">
        <f aca="false">F17*(1+G17)</f>
        <v>219.375</v>
      </c>
      <c r="I17" s="13"/>
    </row>
    <row r="18" customFormat="false" ht="15" hidden="false" customHeight="false" outlineLevel="0" collapsed="false">
      <c r="A18" s="6"/>
      <c r="B18" s="7" t="s">
        <v>29</v>
      </c>
      <c r="C18" s="8" t="s">
        <v>16</v>
      </c>
      <c r="D18" s="9" t="n">
        <v>25</v>
      </c>
      <c r="E18" s="10" t="n">
        <v>0.3</v>
      </c>
      <c r="F18" s="11" t="n">
        <f aca="false">D18*(1+E18)</f>
        <v>32.5</v>
      </c>
      <c r="G18" s="10" t="n">
        <v>0.3</v>
      </c>
      <c r="H18" s="12" t="n">
        <f aca="false">F18*(1+G18)</f>
        <v>42.25</v>
      </c>
      <c r="I18" s="13"/>
    </row>
    <row r="19" customFormat="false" ht="15" hidden="false" customHeight="false" outlineLevel="0" collapsed="false">
      <c r="A19" s="4" t="s">
        <v>30</v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6"/>
      <c r="B20" s="7" t="s">
        <v>31</v>
      </c>
      <c r="C20" s="8" t="s">
        <v>16</v>
      </c>
      <c r="D20" s="9" t="n">
        <v>45</v>
      </c>
      <c r="E20" s="10" t="n">
        <v>0.55</v>
      </c>
      <c r="F20" s="11" t="n">
        <f aca="false">D20*(1+E20)</f>
        <v>69.75</v>
      </c>
      <c r="G20" s="10" t="n">
        <v>0.3</v>
      </c>
      <c r="H20" s="12" t="n">
        <f aca="false">F20*(1+G20)</f>
        <v>90.675</v>
      </c>
      <c r="I20" s="13" t="s">
        <v>32</v>
      </c>
    </row>
    <row r="21" customFormat="false" ht="15" hidden="false" customHeight="false" outlineLevel="0" collapsed="false">
      <c r="A21" s="6"/>
      <c r="B21" s="7" t="s">
        <v>33</v>
      </c>
      <c r="C21" s="8" t="s">
        <v>16</v>
      </c>
      <c r="D21" s="9" t="n">
        <v>80</v>
      </c>
      <c r="E21" s="10" t="n">
        <v>0.45</v>
      </c>
      <c r="F21" s="11" t="n">
        <f aca="false">D21*(1+E21)</f>
        <v>116</v>
      </c>
      <c r="G21" s="10" t="n">
        <v>0.3</v>
      </c>
      <c r="H21" s="12" t="n">
        <f aca="false">F21*(1+G21)</f>
        <v>150.8</v>
      </c>
      <c r="I21" s="13" t="s">
        <v>34</v>
      </c>
    </row>
    <row r="22" customFormat="false" ht="15" hidden="false" customHeight="false" outlineLevel="0" collapsed="false">
      <c r="A22" s="6"/>
      <c r="B22" s="7" t="s">
        <v>35</v>
      </c>
      <c r="C22" s="8" t="s">
        <v>16</v>
      </c>
      <c r="D22" s="9" t="n">
        <v>140</v>
      </c>
      <c r="E22" s="10" t="n">
        <v>0.4</v>
      </c>
      <c r="F22" s="11" t="n">
        <f aca="false">D22*(1+E22)</f>
        <v>196</v>
      </c>
      <c r="G22" s="10" t="n">
        <v>0.3</v>
      </c>
      <c r="H22" s="12" t="n">
        <f aca="false">F22*(1+G22)</f>
        <v>254.8</v>
      </c>
      <c r="I22" s="13" t="s">
        <v>36</v>
      </c>
    </row>
    <row r="23" customFormat="false" ht="15" hidden="false" customHeight="false" outlineLevel="0" collapsed="false">
      <c r="A23" s="6"/>
      <c r="B23" s="7" t="s">
        <v>37</v>
      </c>
      <c r="C23" s="8" t="s">
        <v>16</v>
      </c>
      <c r="D23" s="9" t="n">
        <v>240</v>
      </c>
      <c r="E23" s="10" t="n">
        <v>0.4</v>
      </c>
      <c r="F23" s="11" t="n">
        <f aca="false">D23*(1+E23)</f>
        <v>336</v>
      </c>
      <c r="G23" s="10" t="n">
        <v>0.3</v>
      </c>
      <c r="H23" s="12" t="n">
        <f aca="false">F23*(1+G23)</f>
        <v>436.8</v>
      </c>
      <c r="I23" s="13"/>
    </row>
    <row r="24" customFormat="false" ht="15" hidden="false" customHeight="false" outlineLevel="0" collapsed="false">
      <c r="A24" s="6"/>
      <c r="B24" s="7" t="s">
        <v>38</v>
      </c>
      <c r="C24" s="8" t="s">
        <v>16</v>
      </c>
      <c r="D24" s="9" t="n">
        <v>9</v>
      </c>
      <c r="E24" s="10" t="n">
        <v>0</v>
      </c>
      <c r="F24" s="11" t="n">
        <f aca="false">D24*(1+E24)</f>
        <v>9</v>
      </c>
      <c r="G24" s="10" t="n">
        <v>0.3</v>
      </c>
      <c r="H24" s="12" t="n">
        <f aca="false">F24*(1+G24)</f>
        <v>11.7</v>
      </c>
      <c r="I24" s="13" t="s">
        <v>39</v>
      </c>
    </row>
    <row r="25" customFormat="false" ht="15" hidden="false" customHeight="false" outlineLevel="0" collapsed="false">
      <c r="A25" s="6"/>
      <c r="B25" s="7" t="s">
        <v>40</v>
      </c>
      <c r="C25" s="8" t="s">
        <v>16</v>
      </c>
      <c r="D25" s="9" t="n">
        <v>7</v>
      </c>
      <c r="E25" s="10" t="n">
        <v>0</v>
      </c>
      <c r="F25" s="11" t="n">
        <f aca="false">D25*(1+E25)</f>
        <v>7</v>
      </c>
      <c r="G25" s="10" t="n">
        <v>0.3</v>
      </c>
      <c r="H25" s="12" t="n">
        <f aca="false">F25*(1+G25)</f>
        <v>9.1</v>
      </c>
      <c r="I25" s="13"/>
    </row>
    <row r="26" customFormat="false" ht="15" hidden="false" customHeight="false" outlineLevel="0" collapsed="false">
      <c r="A26" s="6"/>
      <c r="B26" s="7" t="s">
        <v>41</v>
      </c>
      <c r="C26" s="8" t="s">
        <v>16</v>
      </c>
      <c r="D26" s="9" t="n">
        <v>18</v>
      </c>
      <c r="E26" s="10" t="n">
        <v>0.6</v>
      </c>
      <c r="F26" s="11" t="n">
        <f aca="false">D26*(1+E26)</f>
        <v>28.8</v>
      </c>
      <c r="G26" s="10" t="n">
        <v>0.3</v>
      </c>
      <c r="H26" s="12" t="n">
        <f aca="false">F26*(1+G26)</f>
        <v>37.44</v>
      </c>
      <c r="I26" s="13"/>
    </row>
    <row r="27" customFormat="false" ht="15" hidden="false" customHeight="false" outlineLevel="0" collapsed="false">
      <c r="A27" s="6"/>
      <c r="B27" s="7" t="s">
        <v>42</v>
      </c>
      <c r="C27" s="8" t="s">
        <v>43</v>
      </c>
      <c r="D27" s="9" t="n">
        <v>18</v>
      </c>
      <c r="E27" s="10" t="n">
        <v>0.85</v>
      </c>
      <c r="F27" s="11" t="n">
        <f aca="false">D27*(1+E27)</f>
        <v>33.3</v>
      </c>
      <c r="G27" s="10" t="n">
        <v>0.3</v>
      </c>
      <c r="H27" s="12" t="n">
        <f aca="false">F27*(1+G27)</f>
        <v>43.29</v>
      </c>
      <c r="I27" s="13" t="s">
        <v>44</v>
      </c>
    </row>
    <row r="28" customFormat="false" ht="15" hidden="false" customHeight="false" outlineLevel="0" collapsed="false">
      <c r="A28" s="4" t="s">
        <v>45</v>
      </c>
      <c r="B28" s="5"/>
      <c r="C28" s="5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A29" s="6"/>
      <c r="B29" s="7" t="s">
        <v>46</v>
      </c>
      <c r="C29" s="8" t="s">
        <v>16</v>
      </c>
      <c r="D29" s="9" t="n">
        <v>9</v>
      </c>
      <c r="E29" s="10" t="n">
        <v>0</v>
      </c>
      <c r="F29" s="11" t="n">
        <f aca="false">D29*(1+E29)</f>
        <v>9</v>
      </c>
      <c r="G29" s="10" t="n">
        <v>0.3</v>
      </c>
      <c r="H29" s="12" t="n">
        <f aca="false">F29*(1+G29)</f>
        <v>11.7</v>
      </c>
      <c r="I29" s="13"/>
    </row>
    <row r="30" customFormat="false" ht="15" hidden="false" customHeight="false" outlineLevel="0" collapsed="false">
      <c r="A30" s="6"/>
      <c r="B30" s="7" t="s">
        <v>47</v>
      </c>
      <c r="C30" s="8" t="s">
        <v>16</v>
      </c>
      <c r="D30" s="9" t="n">
        <v>12</v>
      </c>
      <c r="E30" s="10" t="n">
        <v>1.15</v>
      </c>
      <c r="F30" s="11" t="n">
        <f aca="false">D30*(1+E30)</f>
        <v>25.8</v>
      </c>
      <c r="G30" s="10" t="n">
        <v>0.3</v>
      </c>
      <c r="H30" s="12" t="n">
        <f aca="false">F30*(1+G30)</f>
        <v>33.54</v>
      </c>
      <c r="I30" s="13" t="s">
        <v>48</v>
      </c>
    </row>
    <row r="31" customFormat="false" ht="15" hidden="false" customHeight="false" outlineLevel="0" collapsed="false">
      <c r="A31" s="6"/>
      <c r="B31" s="7" t="s">
        <v>49</v>
      </c>
      <c r="C31" s="8" t="s">
        <v>16</v>
      </c>
      <c r="D31" s="9" t="n">
        <v>20</v>
      </c>
      <c r="E31" s="10" t="n">
        <v>0.9</v>
      </c>
      <c r="F31" s="11" t="n">
        <f aca="false">D31*(1+E31)</f>
        <v>38</v>
      </c>
      <c r="G31" s="10" t="n">
        <v>0.3</v>
      </c>
      <c r="H31" s="12" t="n">
        <f aca="false">F31*(1+G31)</f>
        <v>49.4</v>
      </c>
      <c r="I31" s="13" t="s">
        <v>50</v>
      </c>
    </row>
    <row r="32" customFormat="false" ht="15" hidden="false" customHeight="false" outlineLevel="0" collapsed="false">
      <c r="A32" s="4" t="s">
        <v>51</v>
      </c>
      <c r="B32" s="5"/>
      <c r="C32" s="5"/>
      <c r="D32" s="5"/>
      <c r="E32" s="5"/>
      <c r="F32" s="5"/>
      <c r="G32" s="5"/>
      <c r="H32" s="5"/>
      <c r="I32" s="5"/>
    </row>
    <row r="33" customFormat="false" ht="15" hidden="false" customHeight="false" outlineLevel="0" collapsed="false">
      <c r="A33" s="6"/>
      <c r="B33" s="7" t="s">
        <v>52</v>
      </c>
      <c r="C33" s="8" t="s">
        <v>16</v>
      </c>
      <c r="D33" s="9" t="n">
        <v>38</v>
      </c>
      <c r="E33" s="10" t="n">
        <v>0.3</v>
      </c>
      <c r="F33" s="11" t="n">
        <f aca="false">D33*(1+E33)</f>
        <v>49.4</v>
      </c>
      <c r="G33" s="10" t="n">
        <v>0.3</v>
      </c>
      <c r="H33" s="12" t="n">
        <f aca="false">F33*(1+G33)</f>
        <v>64.22</v>
      </c>
      <c r="I33" s="13"/>
    </row>
    <row r="34" customFormat="false" ht="15" hidden="false" customHeight="false" outlineLevel="0" collapsed="false">
      <c r="A34" s="6"/>
      <c r="B34" s="7" t="s">
        <v>53</v>
      </c>
      <c r="C34" s="8" t="s">
        <v>16</v>
      </c>
      <c r="D34" s="9" t="n">
        <v>55</v>
      </c>
      <c r="E34" s="10" t="n">
        <v>0.35</v>
      </c>
      <c r="F34" s="11" t="n">
        <f aca="false">D34*(1+E34)</f>
        <v>74.25</v>
      </c>
      <c r="G34" s="10" t="n">
        <v>0.3</v>
      </c>
      <c r="H34" s="12" t="n">
        <f aca="false">F34*(1+G34)</f>
        <v>96.525</v>
      </c>
      <c r="I34" s="13"/>
    </row>
    <row r="35" customFormat="false" ht="15" hidden="false" customHeight="false" outlineLevel="0" collapsed="false">
      <c r="A35" s="6"/>
      <c r="B35" s="7" t="s">
        <v>54</v>
      </c>
      <c r="C35" s="8" t="s">
        <v>16</v>
      </c>
      <c r="D35" s="9" t="n">
        <v>90</v>
      </c>
      <c r="E35" s="10" t="n">
        <v>0.35</v>
      </c>
      <c r="F35" s="11" t="n">
        <f aca="false">D35*(1+E35)</f>
        <v>121.5</v>
      </c>
      <c r="G35" s="10" t="n">
        <v>0.3</v>
      </c>
      <c r="H35" s="12" t="n">
        <f aca="false">F35*(1+G35)</f>
        <v>157.95</v>
      </c>
      <c r="I35" s="13"/>
    </row>
    <row r="36" customFormat="false" ht="15" hidden="false" customHeight="false" outlineLevel="0" collapsed="false">
      <c r="A36" s="6"/>
      <c r="B36" s="7" t="s">
        <v>55</v>
      </c>
      <c r="C36" s="8" t="s">
        <v>16</v>
      </c>
      <c r="D36" s="9" t="n">
        <v>90</v>
      </c>
      <c r="E36" s="10" t="n">
        <v>0.3</v>
      </c>
      <c r="F36" s="11" t="n">
        <f aca="false">D36*(1+E36)</f>
        <v>117</v>
      </c>
      <c r="G36" s="10" t="n">
        <v>0.3</v>
      </c>
      <c r="H36" s="12" t="n">
        <f aca="false">F36*(1+G36)</f>
        <v>152.1</v>
      </c>
      <c r="I36" s="13"/>
    </row>
    <row r="37" customFormat="false" ht="15" hidden="false" customHeight="false" outlineLevel="0" collapsed="false">
      <c r="A37" s="4" t="s">
        <v>56</v>
      </c>
      <c r="B37" s="5"/>
      <c r="C37" s="5"/>
      <c r="D37" s="5"/>
      <c r="E37" s="5"/>
      <c r="F37" s="5"/>
      <c r="G37" s="5"/>
      <c r="H37" s="5"/>
      <c r="I37" s="5"/>
    </row>
    <row r="38" customFormat="false" ht="15" hidden="false" customHeight="false" outlineLevel="0" collapsed="false">
      <c r="A38" s="6"/>
      <c r="B38" s="7" t="s">
        <v>57</v>
      </c>
      <c r="C38" s="8" t="s">
        <v>58</v>
      </c>
      <c r="D38" s="9" t="n">
        <v>480</v>
      </c>
      <c r="E38" s="10" t="n">
        <v>0.2</v>
      </c>
      <c r="F38" s="11" t="n">
        <f aca="false">D38*(1+E38)</f>
        <v>576</v>
      </c>
      <c r="G38" s="10" t="n">
        <v>0.3</v>
      </c>
      <c r="H38" s="12" t="n">
        <f aca="false">F38*(1+G38)</f>
        <v>748.8</v>
      </c>
      <c r="I38" s="13"/>
    </row>
    <row r="39" customFormat="false" ht="15" hidden="false" customHeight="false" outlineLevel="0" collapsed="false">
      <c r="A39" s="6"/>
      <c r="B39" s="7" t="s">
        <v>59</v>
      </c>
      <c r="C39" s="8" t="s">
        <v>58</v>
      </c>
      <c r="D39" s="9" t="n">
        <v>900</v>
      </c>
      <c r="E39" s="10" t="n">
        <v>0.2</v>
      </c>
      <c r="F39" s="11" t="n">
        <f aca="false">D39*(1+E39)</f>
        <v>1080</v>
      </c>
      <c r="G39" s="10" t="n">
        <v>0.3</v>
      </c>
      <c r="H39" s="12" t="n">
        <f aca="false">F39*(1+G39)</f>
        <v>1404</v>
      </c>
      <c r="I39" s="13"/>
    </row>
    <row r="40" customFormat="false" ht="15" hidden="false" customHeight="false" outlineLevel="0" collapsed="false">
      <c r="A40" s="6"/>
      <c r="B40" s="7" t="s">
        <v>60</v>
      </c>
      <c r="C40" s="8" t="s">
        <v>16</v>
      </c>
      <c r="D40" s="9" t="n">
        <v>220</v>
      </c>
      <c r="E40" s="10" t="n">
        <v>0.25</v>
      </c>
      <c r="F40" s="11" t="n">
        <f aca="false">D40*(1+E40)</f>
        <v>275</v>
      </c>
      <c r="G40" s="10" t="n">
        <v>0.3</v>
      </c>
      <c r="H40" s="12" t="n">
        <f aca="false">F40*(1+G40)</f>
        <v>357.5</v>
      </c>
      <c r="I40" s="13"/>
    </row>
    <row r="41" customFormat="false" ht="15" hidden="false" customHeight="false" outlineLevel="0" collapsed="false">
      <c r="A41" s="6"/>
      <c r="B41" s="7" t="s">
        <v>61</v>
      </c>
      <c r="C41" s="8" t="s">
        <v>58</v>
      </c>
      <c r="D41" s="9" t="n">
        <v>320</v>
      </c>
      <c r="E41" s="10" t="n">
        <v>0.25</v>
      </c>
      <c r="F41" s="11" t="n">
        <f aca="false">D41*(1+E41)</f>
        <v>400</v>
      </c>
      <c r="G41" s="10" t="n">
        <v>0.3</v>
      </c>
      <c r="H41" s="12" t="n">
        <f aca="false">F41*(1+G41)</f>
        <v>520</v>
      </c>
      <c r="I41" s="13"/>
    </row>
    <row r="42" customFormat="false" ht="15" hidden="false" customHeight="false" outlineLevel="0" collapsed="false">
      <c r="A42" s="6"/>
      <c r="B42" s="7" t="s">
        <v>62</v>
      </c>
      <c r="C42" s="8" t="s">
        <v>58</v>
      </c>
      <c r="D42" s="9" t="n">
        <v>550</v>
      </c>
      <c r="E42" s="10" t="n">
        <v>0.25</v>
      </c>
      <c r="F42" s="11" t="n">
        <f aca="false">D42*(1+E42)</f>
        <v>687.5</v>
      </c>
      <c r="G42" s="10" t="n">
        <v>0.3</v>
      </c>
      <c r="H42" s="12" t="n">
        <f aca="false">F42*(1+G42)</f>
        <v>893.75</v>
      </c>
      <c r="I42" s="13"/>
    </row>
    <row r="43" customFormat="false" ht="15" hidden="false" customHeight="false" outlineLevel="0" collapsed="false">
      <c r="A43" s="6"/>
      <c r="B43" s="7" t="s">
        <v>63</v>
      </c>
      <c r="C43" s="8" t="s">
        <v>58</v>
      </c>
      <c r="D43" s="9" t="n">
        <v>550</v>
      </c>
      <c r="E43" s="10" t="n">
        <v>0.2</v>
      </c>
      <c r="F43" s="11" t="n">
        <f aca="false">D43*(1+E43)</f>
        <v>660</v>
      </c>
      <c r="G43" s="10" t="n">
        <v>0.3</v>
      </c>
      <c r="H43" s="12" t="n">
        <f aca="false">F43*(1+G43)</f>
        <v>858</v>
      </c>
      <c r="I43" s="13"/>
    </row>
    <row r="44" customFormat="false" ht="15" hidden="false" customHeight="false" outlineLevel="0" collapsed="false">
      <c r="A44" s="6"/>
      <c r="B44" s="7" t="s">
        <v>64</v>
      </c>
      <c r="C44" s="8" t="s">
        <v>58</v>
      </c>
      <c r="D44" s="9" t="n">
        <v>3200</v>
      </c>
      <c r="E44" s="10" t="n">
        <v>0.2</v>
      </c>
      <c r="F44" s="11" t="n">
        <f aca="false">D44*(1+E44)</f>
        <v>3840</v>
      </c>
      <c r="G44" s="10" t="n">
        <v>0.3</v>
      </c>
      <c r="H44" s="12" t="n">
        <f aca="false">F44*(1+G44)</f>
        <v>4992</v>
      </c>
      <c r="I44" s="13"/>
    </row>
    <row r="45" customFormat="false" ht="15" hidden="false" customHeight="false" outlineLevel="0" collapsed="false">
      <c r="A45" s="4" t="s">
        <v>65</v>
      </c>
      <c r="B45" s="5"/>
      <c r="C45" s="5"/>
      <c r="D45" s="5"/>
      <c r="E45" s="5"/>
      <c r="F45" s="5"/>
      <c r="G45" s="5"/>
      <c r="H45" s="5"/>
      <c r="I45" s="5"/>
    </row>
    <row r="46" customFormat="false" ht="15" hidden="false" customHeight="false" outlineLevel="0" collapsed="false">
      <c r="A46" s="6"/>
      <c r="B46" s="7" t="s">
        <v>66</v>
      </c>
      <c r="C46" s="8" t="s">
        <v>58</v>
      </c>
      <c r="D46" s="9" t="n">
        <v>350</v>
      </c>
      <c r="E46" s="10" t="n">
        <v>0.2</v>
      </c>
      <c r="F46" s="11" t="n">
        <f aca="false">D46*(1+E46)</f>
        <v>420</v>
      </c>
      <c r="G46" s="10" t="n">
        <v>0.3</v>
      </c>
      <c r="H46" s="12" t="n">
        <f aca="false">F46*(1+G46)</f>
        <v>546</v>
      </c>
      <c r="I46" s="13"/>
    </row>
    <row r="47" customFormat="false" ht="15" hidden="false" customHeight="false" outlineLevel="0" collapsed="false">
      <c r="A47" s="6"/>
      <c r="B47" s="7" t="s">
        <v>67</v>
      </c>
      <c r="C47" s="8" t="s">
        <v>58</v>
      </c>
      <c r="D47" s="9" t="n">
        <v>800</v>
      </c>
      <c r="E47" s="10" t="n">
        <v>0.2</v>
      </c>
      <c r="F47" s="11" t="n">
        <f aca="false">D47*(1+E47)</f>
        <v>960</v>
      </c>
      <c r="G47" s="10" t="n">
        <v>0.3</v>
      </c>
      <c r="H47" s="12" t="n">
        <f aca="false">F47*(1+G47)</f>
        <v>1248</v>
      </c>
      <c r="I47" s="13"/>
    </row>
    <row r="48" customFormat="false" ht="15" hidden="false" customHeight="false" outlineLevel="0" collapsed="false">
      <c r="A48" s="6"/>
      <c r="B48" s="7" t="s">
        <v>68</v>
      </c>
      <c r="C48" s="8" t="s">
        <v>58</v>
      </c>
      <c r="D48" s="9" t="n">
        <v>1800</v>
      </c>
      <c r="E48" s="10" t="n">
        <v>0.15</v>
      </c>
      <c r="F48" s="11" t="n">
        <f aca="false">D48*(1+E48)</f>
        <v>2070</v>
      </c>
      <c r="G48" s="10" t="n">
        <v>0.3</v>
      </c>
      <c r="H48" s="12" t="n">
        <f aca="false">F48*(1+G48)</f>
        <v>2691</v>
      </c>
      <c r="I48" s="13"/>
    </row>
    <row r="49" customFormat="false" ht="15" hidden="false" customHeight="false" outlineLevel="0" collapsed="false">
      <c r="A49" s="6"/>
      <c r="B49" s="7" t="s">
        <v>69</v>
      </c>
      <c r="C49" s="8" t="s">
        <v>43</v>
      </c>
      <c r="D49" s="9" t="n">
        <v>550</v>
      </c>
      <c r="E49" s="10" t="n">
        <v>0.2</v>
      </c>
      <c r="F49" s="11" t="n">
        <f aca="false">D49*(1+E49)</f>
        <v>660</v>
      </c>
      <c r="G49" s="10" t="n">
        <v>0.3</v>
      </c>
      <c r="H49" s="12" t="n">
        <f aca="false">F49*(1+G49)</f>
        <v>858</v>
      </c>
      <c r="I49" s="13" t="s">
        <v>70</v>
      </c>
    </row>
    <row r="50" customFormat="false" ht="15" hidden="false" customHeight="false" outlineLevel="0" collapsed="false">
      <c r="A50" s="6"/>
      <c r="B50" s="7" t="s">
        <v>71</v>
      </c>
      <c r="C50" s="8" t="s">
        <v>72</v>
      </c>
      <c r="D50" s="9" t="n">
        <v>700</v>
      </c>
      <c r="E50" s="10" t="n">
        <v>0.15</v>
      </c>
      <c r="F50" s="11" t="n">
        <f aca="false">D50*(1+E50)</f>
        <v>805</v>
      </c>
      <c r="G50" s="10" t="n">
        <v>0.3</v>
      </c>
      <c r="H50" s="12" t="n">
        <f aca="false">F50*(1+G50)</f>
        <v>1046.5</v>
      </c>
      <c r="I50" s="13"/>
    </row>
    <row r="51" customFormat="false" ht="15" hidden="false" customHeight="false" outlineLevel="0" collapsed="false">
      <c r="A51" s="4" t="s">
        <v>73</v>
      </c>
      <c r="B51" s="5"/>
      <c r="C51" s="5"/>
      <c r="D51" s="5"/>
      <c r="E51" s="5"/>
      <c r="F51" s="5"/>
      <c r="G51" s="5"/>
      <c r="H51" s="5"/>
      <c r="I51" s="5"/>
    </row>
    <row r="52" customFormat="false" ht="15" hidden="false" customHeight="false" outlineLevel="0" collapsed="false">
      <c r="A52" s="6"/>
      <c r="B52" s="7" t="s">
        <v>74</v>
      </c>
      <c r="C52" s="8" t="s">
        <v>75</v>
      </c>
      <c r="D52" s="9" t="n">
        <v>20</v>
      </c>
      <c r="E52" s="10" t="n">
        <v>1.25</v>
      </c>
      <c r="F52" s="11" t="n">
        <f aca="false">D52*(1+E52)</f>
        <v>45</v>
      </c>
      <c r="G52" s="10" t="n">
        <v>0.3</v>
      </c>
      <c r="H52" s="12" t="n">
        <f aca="false">F52*(1+G52)</f>
        <v>58.5</v>
      </c>
      <c r="I52" s="13" t="s">
        <v>76</v>
      </c>
    </row>
    <row r="53" customFormat="false" ht="15" hidden="false" customHeight="false" outlineLevel="0" collapsed="false">
      <c r="A53" s="6"/>
      <c r="B53" s="7" t="s">
        <v>77</v>
      </c>
      <c r="C53" s="8" t="s">
        <v>78</v>
      </c>
      <c r="D53" s="9" t="n">
        <v>2800</v>
      </c>
      <c r="E53" s="10" t="n">
        <v>0.2</v>
      </c>
      <c r="F53" s="11" t="n">
        <f aca="false">D53*(1+E53)</f>
        <v>3360</v>
      </c>
      <c r="G53" s="10" t="n">
        <v>0.3</v>
      </c>
      <c r="H53" s="12" t="n">
        <f aca="false">F53*(1+G53)</f>
        <v>4368</v>
      </c>
      <c r="I53" s="13"/>
    </row>
    <row r="54" customFormat="false" ht="15" hidden="false" customHeight="false" outlineLevel="0" collapsed="false">
      <c r="A54" s="4" t="s">
        <v>79</v>
      </c>
      <c r="B54" s="5"/>
      <c r="C54" s="5"/>
      <c r="D54" s="5"/>
      <c r="E54" s="5"/>
      <c r="F54" s="5"/>
      <c r="G54" s="5"/>
      <c r="H54" s="5"/>
      <c r="I54" s="5"/>
    </row>
    <row r="55" customFormat="false" ht="15" hidden="false" customHeight="false" outlineLevel="0" collapsed="false">
      <c r="A55" s="6"/>
      <c r="B55" s="7" t="s">
        <v>80</v>
      </c>
      <c r="C55" s="8" t="s">
        <v>58</v>
      </c>
      <c r="D55" s="9" t="n">
        <v>60</v>
      </c>
      <c r="E55" s="10" t="n">
        <v>0.3</v>
      </c>
      <c r="F55" s="11" t="n">
        <f aca="false">D55*(1+E55)</f>
        <v>78</v>
      </c>
      <c r="G55" s="10" t="n">
        <v>0.3</v>
      </c>
      <c r="H55" s="12" t="n">
        <f aca="false">F55*(1+G55)</f>
        <v>101.4</v>
      </c>
      <c r="I55" s="13"/>
    </row>
    <row r="56" customFormat="false" ht="15" hidden="false" customHeight="false" outlineLevel="0" collapsed="false">
      <c r="A56" s="4" t="s">
        <v>81</v>
      </c>
      <c r="B56" s="5"/>
      <c r="C56" s="5"/>
      <c r="D56" s="5"/>
      <c r="E56" s="5"/>
      <c r="F56" s="5"/>
      <c r="G56" s="5"/>
      <c r="H56" s="5"/>
      <c r="I56" s="5"/>
    </row>
    <row r="57" customFormat="false" ht="15" hidden="false" customHeight="false" outlineLevel="0" collapsed="false">
      <c r="A57" s="6"/>
      <c r="B57" s="7" t="s">
        <v>82</v>
      </c>
      <c r="C57" s="8" t="s">
        <v>75</v>
      </c>
      <c r="D57" s="9" t="n">
        <v>30</v>
      </c>
      <c r="E57" s="10" t="n">
        <v>1.1</v>
      </c>
      <c r="F57" s="11" t="n">
        <f aca="false">D57*(1+E57)</f>
        <v>63</v>
      </c>
      <c r="G57" s="10" t="n">
        <v>0.3</v>
      </c>
      <c r="H57" s="12" t="n">
        <f aca="false">F57*(1+G57)</f>
        <v>81.9</v>
      </c>
      <c r="I57" s="13" t="s">
        <v>83</v>
      </c>
    </row>
    <row r="58" customFormat="false" ht="15" hidden="false" customHeight="false" outlineLevel="0" collapsed="false">
      <c r="A58" s="6"/>
      <c r="B58" s="7" t="s">
        <v>84</v>
      </c>
      <c r="C58" s="8" t="s">
        <v>78</v>
      </c>
      <c r="D58" s="9" t="n">
        <v>3200</v>
      </c>
      <c r="E58" s="10" t="n">
        <v>0.2</v>
      </c>
      <c r="F58" s="11" t="n">
        <f aca="false">D58*(1+E58)</f>
        <v>3840</v>
      </c>
      <c r="G58" s="10" t="n">
        <v>0.3</v>
      </c>
      <c r="H58" s="12" t="n">
        <f aca="false">F58*(1+G58)</f>
        <v>4992</v>
      </c>
      <c r="I58" s="13"/>
    </row>
    <row r="59" customFormat="false" ht="15" hidden="false" customHeight="false" outlineLevel="0" collapsed="false">
      <c r="A59" s="4" t="s">
        <v>85</v>
      </c>
      <c r="B59" s="5"/>
      <c r="C59" s="5"/>
      <c r="D59" s="5"/>
      <c r="E59" s="5"/>
      <c r="F59" s="5"/>
      <c r="G59" s="5"/>
      <c r="H59" s="5"/>
      <c r="I59" s="5"/>
    </row>
    <row r="60" customFormat="false" ht="15" hidden="false" customHeight="false" outlineLevel="0" collapsed="false">
      <c r="A60" s="6"/>
      <c r="B60" s="7" t="s">
        <v>86</v>
      </c>
      <c r="C60" s="8" t="s">
        <v>43</v>
      </c>
      <c r="D60" s="9" t="n">
        <v>1200</v>
      </c>
      <c r="E60" s="10" t="n">
        <v>0.15</v>
      </c>
      <c r="F60" s="11" t="n">
        <f aca="false">D60*(1+E60)</f>
        <v>1380</v>
      </c>
      <c r="G60" s="10" t="n">
        <v>0.3</v>
      </c>
      <c r="H60" s="12" t="n">
        <f aca="false">F60*(1+G60)</f>
        <v>1794</v>
      </c>
      <c r="I60" s="13" t="s">
        <v>87</v>
      </c>
    </row>
    <row r="61" customFormat="false" ht="15" hidden="false" customHeight="false" outlineLevel="0" collapsed="false">
      <c r="A61" s="4" t="s">
        <v>88</v>
      </c>
      <c r="B61" s="5"/>
      <c r="C61" s="5"/>
      <c r="D61" s="5"/>
      <c r="E61" s="5"/>
      <c r="F61" s="5"/>
      <c r="G61" s="5"/>
      <c r="H61" s="5"/>
      <c r="I61" s="5"/>
    </row>
    <row r="62" customFormat="false" ht="15" hidden="false" customHeight="false" outlineLevel="0" collapsed="false">
      <c r="A62" s="6"/>
      <c r="B62" s="7" t="s">
        <v>89</v>
      </c>
      <c r="C62" s="8" t="s">
        <v>78</v>
      </c>
      <c r="D62" s="9" t="n">
        <v>4500</v>
      </c>
      <c r="E62" s="10" t="n">
        <v>0.3</v>
      </c>
      <c r="F62" s="11" t="n">
        <f aca="false">D62*(1+E62)</f>
        <v>5850</v>
      </c>
      <c r="G62" s="10" t="n">
        <v>0.3</v>
      </c>
      <c r="H62" s="12" t="n">
        <f aca="false">F62*(1+G62)</f>
        <v>7605</v>
      </c>
      <c r="I62" s="13" t="s">
        <v>90</v>
      </c>
    </row>
    <row r="63" customFormat="false" ht="15" hidden="false" customHeight="false" outlineLevel="0" collapsed="false">
      <c r="A63" s="6"/>
      <c r="B63" s="7" t="s">
        <v>91</v>
      </c>
      <c r="C63" s="8" t="s">
        <v>78</v>
      </c>
      <c r="D63" s="9" t="n">
        <v>10500</v>
      </c>
      <c r="E63" s="10" t="n">
        <v>0.3</v>
      </c>
      <c r="F63" s="11" t="n">
        <f aca="false">D63*(1+E63)</f>
        <v>13650</v>
      </c>
      <c r="G63" s="10" t="n">
        <v>0.3</v>
      </c>
      <c r="H63" s="12" t="n">
        <f aca="false">F63*(1+G63)</f>
        <v>17745</v>
      </c>
      <c r="I63" s="13" t="s">
        <v>92</v>
      </c>
    </row>
    <row r="64" customFormat="false" ht="15" hidden="false" customHeight="false" outlineLevel="0" collapsed="false">
      <c r="A64" s="4" t="s">
        <v>93</v>
      </c>
      <c r="B64" s="5"/>
      <c r="C64" s="5"/>
      <c r="D64" s="5"/>
      <c r="E64" s="5"/>
      <c r="F64" s="5"/>
      <c r="G64" s="5"/>
      <c r="H64" s="5"/>
      <c r="I64" s="5"/>
    </row>
    <row r="65" customFormat="false" ht="15" hidden="false" customHeight="false" outlineLevel="0" collapsed="false">
      <c r="A65" s="6"/>
      <c r="B65" s="7" t="s">
        <v>94</v>
      </c>
      <c r="C65" s="8" t="s">
        <v>78</v>
      </c>
      <c r="D65" s="9" t="n">
        <v>28000</v>
      </c>
      <c r="E65" s="10" t="n">
        <v>0.2</v>
      </c>
      <c r="F65" s="11" t="n">
        <f aca="false">D65*(1+E65)</f>
        <v>33600</v>
      </c>
      <c r="G65" s="10" t="n">
        <v>0.3</v>
      </c>
      <c r="H65" s="12" t="n">
        <f aca="false">F65*(1+G65)</f>
        <v>43680</v>
      </c>
      <c r="I65" s="13"/>
    </row>
    <row r="66" customFormat="false" ht="15" hidden="false" customHeight="false" outlineLevel="0" collapsed="false">
      <c r="A66" s="6"/>
      <c r="B66" s="7" t="s">
        <v>95</v>
      </c>
      <c r="C66" s="8" t="s">
        <v>78</v>
      </c>
      <c r="D66" s="9" t="n">
        <v>8000</v>
      </c>
      <c r="E66" s="10" t="n">
        <v>0.25</v>
      </c>
      <c r="F66" s="11" t="n">
        <f aca="false">D66*(1+E66)</f>
        <v>10000</v>
      </c>
      <c r="G66" s="10" t="n">
        <v>0.3</v>
      </c>
      <c r="H66" s="12" t="n">
        <f aca="false">F66*(1+G66)</f>
        <v>13000</v>
      </c>
      <c r="I66" s="13"/>
    </row>
    <row r="67" customFormat="false" ht="15" hidden="false" customHeight="false" outlineLevel="0" collapsed="false">
      <c r="A67" s="6"/>
      <c r="B67" s="7" t="s">
        <v>96</v>
      </c>
      <c r="C67" s="8" t="s">
        <v>78</v>
      </c>
      <c r="D67" s="9" t="n">
        <v>5000</v>
      </c>
      <c r="E67" s="10" t="n">
        <v>0.25</v>
      </c>
      <c r="F67" s="11" t="n">
        <f aca="false">D67*(1+E67)</f>
        <v>6250</v>
      </c>
      <c r="G67" s="10" t="n">
        <v>0.3</v>
      </c>
      <c r="H67" s="12" t="n">
        <f aca="false">F67*(1+G67)</f>
        <v>8125</v>
      </c>
      <c r="I6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14" t="s">
        <v>99</v>
      </c>
      <c r="B4" s="14" t="s">
        <v>100</v>
      </c>
      <c r="C4" s="14" t="s">
        <v>101</v>
      </c>
    </row>
    <row r="5" customFormat="false" ht="15" hidden="false" customHeight="false" outlineLevel="0" collapsed="false">
      <c r="A5" s="7" t="s">
        <v>102</v>
      </c>
      <c r="B5" s="8" t="s">
        <v>16</v>
      </c>
      <c r="C5" s="8" t="s">
        <v>103</v>
      </c>
    </row>
    <row r="6" customFormat="false" ht="15" hidden="false" customHeight="false" outlineLevel="0" collapsed="false">
      <c r="A6" s="7" t="s">
        <v>104</v>
      </c>
      <c r="B6" s="8" t="s">
        <v>16</v>
      </c>
      <c r="C6" s="8" t="s">
        <v>105</v>
      </c>
    </row>
    <row r="7" customFormat="false" ht="15" hidden="false" customHeight="false" outlineLevel="0" collapsed="false">
      <c r="A7" s="7" t="s">
        <v>106</v>
      </c>
      <c r="B7" s="8" t="s">
        <v>16</v>
      </c>
      <c r="C7" s="8" t="s">
        <v>107</v>
      </c>
    </row>
    <row r="8" customFormat="false" ht="15" hidden="false" customHeight="false" outlineLevel="0" collapsed="false">
      <c r="A8" s="7" t="s">
        <v>41</v>
      </c>
      <c r="B8" s="8" t="s">
        <v>16</v>
      </c>
      <c r="C8" s="8" t="s">
        <v>108</v>
      </c>
    </row>
    <row r="9" customFormat="false" ht="15" hidden="false" customHeight="false" outlineLevel="0" collapsed="false">
      <c r="A9" s="7" t="s">
        <v>109</v>
      </c>
      <c r="B9" s="8" t="s">
        <v>110</v>
      </c>
      <c r="C9" s="8" t="s">
        <v>111</v>
      </c>
    </row>
    <row r="10" customFormat="false" ht="15" hidden="false" customHeight="false" outlineLevel="0" collapsed="false">
      <c r="A10" s="7" t="s">
        <v>112</v>
      </c>
      <c r="B10" s="8" t="s">
        <v>16</v>
      </c>
      <c r="C10" s="8" t="s">
        <v>113</v>
      </c>
    </row>
    <row r="11" customFormat="false" ht="15" hidden="false" customHeight="false" outlineLevel="0" collapsed="false">
      <c r="A11" s="7" t="s">
        <v>114</v>
      </c>
      <c r="B11" s="8" t="s">
        <v>16</v>
      </c>
      <c r="C11" s="8" t="s">
        <v>115</v>
      </c>
    </row>
    <row r="12" customFormat="false" ht="15" hidden="false" customHeight="false" outlineLevel="0" collapsed="false">
      <c r="A12" s="7" t="s">
        <v>116</v>
      </c>
      <c r="B12" s="8" t="s">
        <v>16</v>
      </c>
      <c r="C12" s="8" t="s">
        <v>117</v>
      </c>
    </row>
    <row r="13" customFormat="false" ht="15" hidden="false" customHeight="false" outlineLevel="0" collapsed="false">
      <c r="A13" s="7" t="s">
        <v>118</v>
      </c>
      <c r="B13" s="8" t="s">
        <v>119</v>
      </c>
      <c r="C13" s="8" t="s">
        <v>120</v>
      </c>
    </row>
    <row r="14" customFormat="false" ht="15" hidden="false" customHeight="false" outlineLevel="0" collapsed="false">
      <c r="A14" s="7" t="s">
        <v>121</v>
      </c>
      <c r="B14" s="8" t="s">
        <v>119</v>
      </c>
      <c r="C14" s="8" t="s">
        <v>122</v>
      </c>
    </row>
    <row r="15" customFormat="false" ht="15" hidden="false" customHeight="false" outlineLevel="0" collapsed="false">
      <c r="A15" s="7" t="s">
        <v>123</v>
      </c>
      <c r="B15" s="8" t="s">
        <v>16</v>
      </c>
      <c r="C15" s="8" t="s">
        <v>124</v>
      </c>
    </row>
    <row r="17" customFormat="false" ht="15" hidden="false" customHeight="false" outlineLevel="0" collapsed="false">
      <c r="A17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15" t="s">
        <v>128</v>
      </c>
      <c r="B4" s="15" t="s">
        <v>129</v>
      </c>
      <c r="C4" s="15" t="s">
        <v>130</v>
      </c>
    </row>
    <row r="5" customFormat="false" ht="15" hidden="false" customHeight="false" outlineLevel="0" collapsed="false">
      <c r="A5" s="7" t="s">
        <v>131</v>
      </c>
      <c r="B5" s="9" t="n">
        <v>3400</v>
      </c>
      <c r="C5" s="16" t="s">
        <v>132</v>
      </c>
    </row>
    <row r="6" customFormat="false" ht="15" hidden="false" customHeight="false" outlineLevel="0" collapsed="false">
      <c r="A6" s="7" t="s">
        <v>133</v>
      </c>
      <c r="B6" s="9" t="n">
        <v>4600</v>
      </c>
      <c r="C6" s="16" t="s">
        <v>134</v>
      </c>
    </row>
    <row r="8" customFormat="false" ht="15" hidden="false" customHeight="false" outlineLevel="0" collapsed="false">
      <c r="A8" s="2" t="s">
        <v>135</v>
      </c>
    </row>
    <row r="9" customFormat="false" ht="15" hidden="false" customHeight="false" outlineLevel="0" collapsed="false">
      <c r="A9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2026-09-02T19:08:18Z</dcterms:created>
  <dc:creator>openpyxl</dc:creator>
  <dc:description/>
  <dc:language>en-US</dc:language>
  <cp:lastModifiedBy/>
  <dcterms:modified xsi:type="dcterms:W3CDTF">2026-09-02T19:08:18Z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